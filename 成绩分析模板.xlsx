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893" activeTab="10"/>
  </bookViews>
  <sheets>
    <sheet name="综合刷题1" sheetId="17" r:id="rId1"/>
    <sheet name="综合刷题2" sheetId="16" r:id="rId2"/>
    <sheet name="综合刷题3" sheetId="15" r:id="rId3"/>
    <sheet name="综合刷题4" sheetId="14" r:id="rId4"/>
    <sheet name="综合刷题5" sheetId="13" r:id="rId5"/>
    <sheet name="综合刷题6" sheetId="12" r:id="rId6"/>
    <sheet name="综合刷题7" sheetId="11" r:id="rId7"/>
    <sheet name="综合刷题8" sheetId="10" r:id="rId8"/>
    <sheet name="综合刷题9" sheetId="9" r:id="rId9"/>
    <sheet name="综合刷题10" sheetId="8" r:id="rId10"/>
    <sheet name="综合刷题11" sheetId="1" r:id="rId11"/>
    <sheet name="综合刷题12" sheetId="2" r:id="rId12"/>
    <sheet name="综合刷题13" sheetId="3" r:id="rId13"/>
    <sheet name="综合刷题14" sheetId="4" r:id="rId14"/>
    <sheet name="综合刷题15 " sheetId="5" r:id="rId15"/>
    <sheet name="综合刷题16" sheetId="6" r:id="rId16"/>
    <sheet name="题型分类" sheetId="19" r:id="rId17"/>
  </sheets>
  <definedNames>
    <definedName name="计算">题型分类!$A$2:$A$18</definedName>
    <definedName name="几何">题型分类!$C$2:$C$18</definedName>
    <definedName name="行程">题型分类!$D$2:$D$18</definedName>
    <definedName name="数论">题型分类!$E$2:$E$18</definedName>
    <definedName name="计数">题型分类!$F$2:$F$18</definedName>
    <definedName name="组合">题型分类!$G$2:$G$18</definedName>
    <definedName name="应用题">题型分类!$B$2:$B$18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<sst xmlns="http://schemas.openxmlformats.org/spreadsheetml/2006/main" count="1593" uniqueCount="114">
  <si>
    <t>学生姓名</t>
  </si>
  <si>
    <t>老师姓名</t>
  </si>
  <si>
    <t>校区</t>
  </si>
  <si>
    <t>总分</t>
  </si>
  <si>
    <t>排名</t>
  </si>
  <si>
    <t>应用</t>
  </si>
  <si>
    <t>几何</t>
  </si>
  <si>
    <t>行程</t>
  </si>
  <si>
    <t>计算</t>
  </si>
  <si>
    <t>组合</t>
  </si>
  <si>
    <t>数论</t>
  </si>
  <si>
    <t>计数</t>
  </si>
  <si>
    <t>年龄问题</t>
  </si>
  <si>
    <t>长方形与正方形的面积</t>
  </si>
  <si>
    <t>三角形</t>
  </si>
  <si>
    <t>环形跑道</t>
  </si>
  <si>
    <t>分数巧算</t>
  </si>
  <si>
    <t>流水行船</t>
  </si>
  <si>
    <t>抽屉原理</t>
  </si>
  <si>
    <t>分数裂项</t>
  </si>
  <si>
    <t>分解质因数</t>
  </si>
  <si>
    <t>图形变换</t>
  </si>
  <si>
    <t>大数计算</t>
  </si>
  <si>
    <t>巧求面积</t>
  </si>
  <si>
    <t>位值原理</t>
  </si>
  <si>
    <t>页码问题</t>
  </si>
  <si>
    <t>因倍</t>
  </si>
  <si>
    <t>时钟问题</t>
  </si>
  <si>
    <t>体育比赛中的数学</t>
  </si>
  <si>
    <t>倒推还原</t>
  </si>
  <si>
    <t>张纯菁</t>
  </si>
  <si>
    <t>李四平</t>
  </si>
  <si>
    <t>大坪</t>
  </si>
  <si>
    <t>赵姿含</t>
  </si>
  <si>
    <t>聂子童</t>
  </si>
  <si>
    <t>罗俊熙</t>
  </si>
  <si>
    <t>李俊熙</t>
  </si>
  <si>
    <t>白启辰</t>
  </si>
  <si>
    <t>陈俊瑜</t>
  </si>
  <si>
    <t>杨颜一</t>
  </si>
  <si>
    <t>唐逸</t>
  </si>
  <si>
    <t>任唐小小</t>
  </si>
  <si>
    <t>梁鑫悦</t>
  </si>
  <si>
    <t>黄景夏</t>
  </si>
  <si>
    <t>追及问题</t>
  </si>
  <si>
    <t>数字谜</t>
  </si>
  <si>
    <t>图形计数</t>
  </si>
  <si>
    <t>整数巧算</t>
  </si>
  <si>
    <t>鸡兔同笼</t>
  </si>
  <si>
    <t>巧求周长</t>
  </si>
  <si>
    <t>行程初步</t>
  </si>
  <si>
    <t>周期问题</t>
  </si>
  <si>
    <t>字典排列法</t>
  </si>
  <si>
    <t>逻辑推理</t>
  </si>
  <si>
    <t>错中求对</t>
  </si>
  <si>
    <t>相遇问题</t>
  </si>
  <si>
    <t>带余除法</t>
  </si>
  <si>
    <t>统计问题</t>
  </si>
  <si>
    <t>数形结合</t>
  </si>
  <si>
    <t>归一问题</t>
  </si>
  <si>
    <t>四边形</t>
  </si>
  <si>
    <t>整除特征</t>
  </si>
  <si>
    <t>容斥原理</t>
  </si>
  <si>
    <t>和差倍问题</t>
  </si>
  <si>
    <t>火车过桥</t>
  </si>
  <si>
    <t>方阵问题</t>
  </si>
  <si>
    <t>最值问题</t>
  </si>
  <si>
    <t>第五种运算</t>
  </si>
  <si>
    <t>质数与合数</t>
  </si>
  <si>
    <t>标数法</t>
  </si>
  <si>
    <t>最不利原则</t>
  </si>
  <si>
    <t>循环小数</t>
  </si>
  <si>
    <t>等积变形</t>
  </si>
  <si>
    <t>盈亏问题</t>
  </si>
  <si>
    <t>一半模型</t>
  </si>
  <si>
    <t>多次相遇与追及</t>
  </si>
  <si>
    <t>加乘原理</t>
  </si>
  <si>
    <t>概率</t>
  </si>
  <si>
    <t>平均数</t>
  </si>
  <si>
    <t>等高模型</t>
  </si>
  <si>
    <t>扶梯与发车</t>
  </si>
  <si>
    <t>定义新运算</t>
  </si>
  <si>
    <t>列方程解应用题</t>
  </si>
  <si>
    <t>枚举有序</t>
  </si>
  <si>
    <t>数表</t>
  </si>
  <si>
    <t>分数乘除</t>
  </si>
  <si>
    <t>牛吃草</t>
  </si>
  <si>
    <t>圆与扇形</t>
  </si>
  <si>
    <t>比例法解行程</t>
  </si>
  <si>
    <t>完全平方数</t>
  </si>
  <si>
    <t>图形中的递推</t>
  </si>
  <si>
    <t>分数加减</t>
  </si>
  <si>
    <t>统筹与最优化</t>
  </si>
  <si>
    <t>鸟头模型</t>
  </si>
  <si>
    <t>猎狗追兔</t>
  </si>
  <si>
    <t>韩信点兵</t>
  </si>
  <si>
    <t>排列组合</t>
  </si>
  <si>
    <t>分数方程</t>
  </si>
  <si>
    <t>比例应用题</t>
  </si>
  <si>
    <t>长方体与正方体</t>
  </si>
  <si>
    <t>接送</t>
  </si>
  <si>
    <t>分小百混合</t>
  </si>
  <si>
    <t>经济问题</t>
  </si>
  <si>
    <t>勾股定理</t>
  </si>
  <si>
    <t>S-T图</t>
  </si>
  <si>
    <t>解多元方程</t>
  </si>
  <si>
    <t>分数应用题</t>
  </si>
  <si>
    <t>蝴蝶模型</t>
  </si>
  <si>
    <t>整数裂项与通项归纳</t>
  </si>
  <si>
    <t>工程问题</t>
  </si>
  <si>
    <t>燕尾模型</t>
  </si>
  <si>
    <t>浓度问题</t>
  </si>
  <si>
    <t>圆柱与圆锥</t>
  </si>
  <si>
    <t>三视图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</si>
</sst>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8" borderId="5">
      <alignment vertical="center"/>
    </xf>
    <xf numFmtId="0" fontId="13" fillId="9" borderId="6">
      <alignment vertical="center"/>
    </xf>
    <xf numFmtId="0" fontId="14" fillId="9" borderId="5">
      <alignment vertical="center"/>
    </xf>
    <xf numFmtId="0" fontId="15" fillId="10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5" sqref="$A5:$XFD5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6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13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5" sqref="$A5:$XFD5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J35" sqref="J35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M31" sqref="M31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M40" sqref="M40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7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>RANK(AD5,AD5:AD27,0)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>RANK(AD6,AD6:AD28,0)</f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>RANK(AD7,AD7:AD29,0)</f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>RANK(AD8,AD8:AD30,0)</f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>RANK(AD9,AD9:AD31,0)</f>
        <v>1</v>
      </c>
    </row>
    <row r="10" spans="1:31">
      <c r="A10" s="9" t="s">
        <v>38</v>
      </c>
      <c r="B10" s="3" t="s">
        <v>31</v>
      </c>
      <c r="C10" s="3" t="s">
        <v>32</v>
      </c>
      <c r="D10" s="3">
        <v>3</v>
      </c>
      <c r="E10" s="3">
        <v>0</v>
      </c>
      <c r="F10" s="3">
        <v>3</v>
      </c>
      <c r="G10" s="3">
        <v>0</v>
      </c>
      <c r="H10" s="3">
        <v>0</v>
      </c>
      <c r="I10" s="3">
        <v>3</v>
      </c>
      <c r="J10" s="3">
        <v>0</v>
      </c>
      <c r="K10" s="3">
        <v>3</v>
      </c>
      <c r="L10" s="3">
        <v>5</v>
      </c>
      <c r="M10" s="3">
        <v>5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5</v>
      </c>
      <c r="U10" s="3">
        <v>5</v>
      </c>
      <c r="V10" s="3">
        <v>6</v>
      </c>
      <c r="W10" s="3">
        <v>6</v>
      </c>
      <c r="X10" s="3">
        <v>7</v>
      </c>
      <c r="Y10" s="3">
        <v>7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108</v>
      </c>
      <c r="AE10" s="10">
        <f t="shared" ref="AE10:AE15" si="1">RANK(AD10,AD10:AD33,0)</f>
        <v>2</v>
      </c>
    </row>
    <row r="11" spans="1:31">
      <c r="A11" s="9" t="s">
        <v>39</v>
      </c>
      <c r="B11" s="3" t="s">
        <v>31</v>
      </c>
      <c r="C11" s="3" t="s">
        <v>32</v>
      </c>
      <c r="D11" s="3">
        <v>3</v>
      </c>
      <c r="E11" s="3">
        <v>3</v>
      </c>
      <c r="F11" s="3">
        <v>3</v>
      </c>
      <c r="G11" s="3">
        <v>3</v>
      </c>
      <c r="H11" s="3">
        <v>3</v>
      </c>
      <c r="I11" s="3">
        <v>0</v>
      </c>
      <c r="J11" s="3">
        <v>3</v>
      </c>
      <c r="K11" s="3">
        <v>0</v>
      </c>
      <c r="L11" s="3">
        <v>5</v>
      </c>
      <c r="M11" s="3">
        <v>0</v>
      </c>
      <c r="N11" s="3">
        <v>0</v>
      </c>
      <c r="O11" s="3">
        <v>0</v>
      </c>
      <c r="P11" s="3">
        <v>0</v>
      </c>
      <c r="Q11" s="3">
        <v>5</v>
      </c>
      <c r="R11" s="3">
        <v>5</v>
      </c>
      <c r="S11" s="3">
        <v>5</v>
      </c>
      <c r="T11" s="3">
        <v>0</v>
      </c>
      <c r="U11" s="3">
        <v>5</v>
      </c>
      <c r="V11" s="3">
        <v>6</v>
      </c>
      <c r="W11" s="3">
        <v>6</v>
      </c>
      <c r="X11" s="3">
        <v>7</v>
      </c>
      <c r="Y11" s="3">
        <v>0</v>
      </c>
      <c r="Z11" s="3">
        <v>0</v>
      </c>
      <c r="AA11" s="3">
        <v>5</v>
      </c>
      <c r="AB11" s="3">
        <v>5</v>
      </c>
      <c r="AC11" s="3">
        <v>5</v>
      </c>
      <c r="AD11" s="10">
        <f t="shared" si="0"/>
        <v>77</v>
      </c>
      <c r="AE11" s="10">
        <f t="shared" si="1"/>
        <v>4</v>
      </c>
    </row>
    <row r="12" spans="1:31">
      <c r="A12" s="9" t="s">
        <v>40</v>
      </c>
      <c r="B12" s="3" t="s">
        <v>31</v>
      </c>
      <c r="C12" s="3" t="s">
        <v>32</v>
      </c>
      <c r="D12" s="3">
        <v>3</v>
      </c>
      <c r="E12" s="3">
        <v>0</v>
      </c>
      <c r="F12" s="3">
        <v>3</v>
      </c>
      <c r="G12" s="3">
        <v>0</v>
      </c>
      <c r="H12" s="3">
        <v>3</v>
      </c>
      <c r="I12" s="3">
        <v>3</v>
      </c>
      <c r="J12" s="3">
        <v>3</v>
      </c>
      <c r="K12" s="3">
        <v>3</v>
      </c>
      <c r="L12" s="3">
        <v>5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0</v>
      </c>
      <c r="S12" s="3">
        <v>5</v>
      </c>
      <c r="T12" s="3">
        <v>5</v>
      </c>
      <c r="U12" s="3">
        <v>5</v>
      </c>
      <c r="V12" s="3">
        <v>6</v>
      </c>
      <c r="W12" s="3">
        <v>6</v>
      </c>
      <c r="X12" s="3">
        <v>7</v>
      </c>
      <c r="Y12" s="3">
        <v>7</v>
      </c>
      <c r="Z12" s="3">
        <v>5</v>
      </c>
      <c r="AA12" s="3">
        <v>0</v>
      </c>
      <c r="AB12" s="3">
        <v>5</v>
      </c>
      <c r="AC12" s="3">
        <v>5</v>
      </c>
      <c r="AD12" s="10">
        <f t="shared" si="0"/>
        <v>104</v>
      </c>
      <c r="AE12" s="10">
        <f t="shared" si="1"/>
        <v>2</v>
      </c>
    </row>
    <row r="13" spans="1:31">
      <c r="A13" s="9" t="s">
        <v>41</v>
      </c>
      <c r="B13" s="3" t="s">
        <v>31</v>
      </c>
      <c r="C13" s="3" t="s">
        <v>32</v>
      </c>
      <c r="D13" s="3">
        <v>3</v>
      </c>
      <c r="E13" s="3">
        <v>3</v>
      </c>
      <c r="F13" s="3">
        <v>3</v>
      </c>
      <c r="G13" s="3">
        <v>3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115</v>
      </c>
      <c r="AE13" s="10">
        <f t="shared" si="1"/>
        <v>1</v>
      </c>
    </row>
    <row r="14" spans="1:31">
      <c r="A14" s="9" t="s">
        <v>42</v>
      </c>
      <c r="B14" s="3" t="s">
        <v>31</v>
      </c>
      <c r="C14" s="3" t="s">
        <v>32</v>
      </c>
      <c r="D14" s="3">
        <v>3</v>
      </c>
      <c r="E14" s="3">
        <v>0</v>
      </c>
      <c r="F14" s="3">
        <v>3</v>
      </c>
      <c r="G14" s="3">
        <v>0</v>
      </c>
      <c r="H14" s="3">
        <v>3</v>
      </c>
      <c r="I14" s="3">
        <v>3</v>
      </c>
      <c r="J14" s="3">
        <v>3</v>
      </c>
      <c r="K14" s="3">
        <v>3</v>
      </c>
      <c r="L14" s="3">
        <v>0</v>
      </c>
      <c r="M14" s="3">
        <v>5</v>
      </c>
      <c r="N14" s="3">
        <v>5</v>
      </c>
      <c r="O14" s="3">
        <v>5</v>
      </c>
      <c r="P14" s="3">
        <v>0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0</v>
      </c>
      <c r="W14" s="3">
        <v>0</v>
      </c>
      <c r="X14" s="3">
        <v>7</v>
      </c>
      <c r="Y14" s="3">
        <v>0</v>
      </c>
      <c r="Z14" s="3">
        <v>5</v>
      </c>
      <c r="AA14" s="3">
        <v>5</v>
      </c>
      <c r="AB14" s="3">
        <v>0</v>
      </c>
      <c r="AC14" s="3">
        <v>5</v>
      </c>
      <c r="AD14" s="10">
        <f t="shared" si="0"/>
        <v>80</v>
      </c>
      <c r="AE14" s="10">
        <f t="shared" si="1"/>
        <v>1</v>
      </c>
    </row>
    <row r="15" spans="1:31">
      <c r="A15" s="9" t="s">
        <v>43</v>
      </c>
      <c r="B15" s="3" t="s">
        <v>31</v>
      </c>
      <c r="C15" s="3" t="s">
        <v>32</v>
      </c>
      <c r="D15" s="3">
        <v>0</v>
      </c>
      <c r="E15" s="3">
        <v>3</v>
      </c>
      <c r="F15" s="3">
        <v>0</v>
      </c>
      <c r="G15" s="3">
        <v>0</v>
      </c>
      <c r="H15" s="3">
        <v>0</v>
      </c>
      <c r="I15" s="3">
        <v>3</v>
      </c>
      <c r="J15" s="3">
        <v>3</v>
      </c>
      <c r="K15" s="3">
        <v>0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0</v>
      </c>
      <c r="T15" s="3">
        <v>0</v>
      </c>
      <c r="U15" s="3">
        <v>0</v>
      </c>
      <c r="V15" s="3">
        <v>6</v>
      </c>
      <c r="W15" s="3">
        <v>0</v>
      </c>
      <c r="X15" s="3">
        <v>7</v>
      </c>
      <c r="Y15" s="3">
        <v>0</v>
      </c>
      <c r="Z15" s="3">
        <v>0</v>
      </c>
      <c r="AA15" s="3">
        <v>5</v>
      </c>
      <c r="AB15" s="3">
        <v>5</v>
      </c>
      <c r="AC15" s="3">
        <v>5</v>
      </c>
      <c r="AD15" s="10">
        <f t="shared" si="0"/>
        <v>62</v>
      </c>
      <c r="AE15" s="10">
        <f t="shared" si="1"/>
        <v>1</v>
      </c>
    </row>
    <row r="16" spans="1:31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10"/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65" spans="1:2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68"/>
  <sheetViews>
    <sheetView tabSelected="1" topLeftCell="F1" workbookViewId="0">
      <selection activeCell="AD24" sqref="AD24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pans="1:36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5">
        <v>27</v>
      </c>
      <c r="AE1" s="5">
        <v>28</v>
      </c>
      <c r="AF1" s="5">
        <v>29</v>
      </c>
      <c r="AG1" s="5">
        <v>30</v>
      </c>
      <c r="AH1" s="5">
        <v>31</v>
      </c>
      <c r="AI1" s="4" t="s">
        <v>3</v>
      </c>
      <c r="AJ1" s="4" t="s">
        <v>4</v>
      </c>
    </row>
    <row r="2" spans="1:36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7" t="s">
        <v>5</v>
      </c>
      <c r="AE2" s="7" t="s">
        <v>7</v>
      </c>
      <c r="AF2" s="7" t="s">
        <v>10</v>
      </c>
      <c r="AG2" s="7" t="s">
        <v>11</v>
      </c>
      <c r="AH2" s="7" t="s">
        <v>8</v>
      </c>
      <c r="AI2" s="6"/>
      <c r="AJ2" s="6"/>
    </row>
    <row r="3" spans="1:36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 t="s">
        <v>27</v>
      </c>
      <c r="AE3" s="6" t="s">
        <v>44</v>
      </c>
      <c r="AF3" s="6" t="s">
        <v>45</v>
      </c>
      <c r="AG3" s="6" t="s">
        <v>46</v>
      </c>
      <c r="AH3" s="6" t="s">
        <v>19</v>
      </c>
      <c r="AI3" s="6"/>
      <c r="AJ3" s="6"/>
    </row>
    <row r="4" spans="1:36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8">
        <v>5</v>
      </c>
      <c r="AE4" s="8">
        <v>5</v>
      </c>
      <c r="AF4" s="8">
        <v>5</v>
      </c>
      <c r="AG4" s="8">
        <v>5</v>
      </c>
      <c r="AH4" s="8">
        <v>5</v>
      </c>
      <c r="AI4" s="6">
        <f>SUM(D4:AH4)</f>
        <v>145</v>
      </c>
      <c r="AJ4" s="6"/>
    </row>
    <row r="5" spans="1:36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3">
        <v>5</v>
      </c>
      <c r="AE5" s="3">
        <v>5</v>
      </c>
      <c r="AF5" s="3">
        <v>0</v>
      </c>
      <c r="AG5" s="3">
        <v>0</v>
      </c>
      <c r="AH5" s="3">
        <v>5</v>
      </c>
      <c r="AI5" s="10">
        <f>SUM(D5:AH5)</f>
        <v>117</v>
      </c>
      <c r="AJ5" s="10">
        <f>RANK(AI5,AI5:AI28,0)</f>
        <v>7</v>
      </c>
    </row>
    <row r="6" spans="1:36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0</v>
      </c>
      <c r="AF6" s="3">
        <v>0</v>
      </c>
      <c r="AG6" s="3">
        <v>0</v>
      </c>
      <c r="AH6" s="3">
        <v>5</v>
      </c>
      <c r="AI6" s="10">
        <f t="shared" ref="AI6:AI16" si="0">SUM(D6:AH6)</f>
        <v>130</v>
      </c>
      <c r="AJ6" s="10">
        <f>RANK(AI6,AI6:AI29,0)</f>
        <v>3</v>
      </c>
    </row>
    <row r="7" spans="1:36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3">
        <v>5</v>
      </c>
      <c r="AE7" s="3">
        <v>5</v>
      </c>
      <c r="AF7" s="3">
        <v>5</v>
      </c>
      <c r="AG7" s="3">
        <v>0</v>
      </c>
      <c r="AH7" s="3">
        <v>5</v>
      </c>
      <c r="AI7" s="10">
        <f t="shared" si="0"/>
        <v>140</v>
      </c>
      <c r="AJ7" s="10">
        <f t="shared" ref="AJ7:AJ16" si="1">RANK(AI7,AI7:AI30,0)</f>
        <v>1</v>
      </c>
    </row>
    <row r="8" spans="1:36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3">
        <v>5</v>
      </c>
      <c r="AE8" s="3">
        <v>5</v>
      </c>
      <c r="AF8" s="3">
        <v>0</v>
      </c>
      <c r="AG8" s="3">
        <v>0</v>
      </c>
      <c r="AH8" s="3">
        <v>5</v>
      </c>
      <c r="AI8" s="10">
        <f t="shared" si="0"/>
        <v>99</v>
      </c>
      <c r="AJ8" s="10">
        <f t="shared" si="1"/>
        <v>5</v>
      </c>
    </row>
    <row r="9" spans="1:36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3">
        <v>5</v>
      </c>
      <c r="AE9" s="3">
        <v>5</v>
      </c>
      <c r="AF9" s="3">
        <v>0</v>
      </c>
      <c r="AG9" s="3">
        <v>5</v>
      </c>
      <c r="AH9" s="3">
        <v>5</v>
      </c>
      <c r="AI9" s="10">
        <f t="shared" si="0"/>
        <v>140</v>
      </c>
      <c r="AJ9" s="10">
        <f t="shared" si="1"/>
        <v>1</v>
      </c>
    </row>
    <row r="10" spans="1:36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3">
        <v>5</v>
      </c>
      <c r="AE10" s="3">
        <v>5</v>
      </c>
      <c r="AF10" s="3">
        <v>0</v>
      </c>
      <c r="AG10" s="3">
        <v>0</v>
      </c>
      <c r="AH10" s="3">
        <v>0</v>
      </c>
      <c r="AI10" s="10">
        <f t="shared" si="0"/>
        <v>94</v>
      </c>
      <c r="AJ10" s="10">
        <f t="shared" si="1"/>
        <v>5</v>
      </c>
    </row>
    <row r="11" spans="1:36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3">
        <v>5</v>
      </c>
      <c r="AE11" s="3">
        <v>5</v>
      </c>
      <c r="AF11" s="3">
        <v>0</v>
      </c>
      <c r="AG11" s="3">
        <v>5</v>
      </c>
      <c r="AH11" s="3">
        <v>0</v>
      </c>
      <c r="AI11" s="10">
        <f t="shared" si="0"/>
        <v>123</v>
      </c>
      <c r="AJ11" s="10">
        <f t="shared" si="1"/>
        <v>3</v>
      </c>
    </row>
    <row r="12" spans="1:36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3">
        <v>5</v>
      </c>
      <c r="AE12" s="3">
        <v>5</v>
      </c>
      <c r="AF12" s="3">
        <v>0</v>
      </c>
      <c r="AG12" s="3">
        <v>5</v>
      </c>
      <c r="AH12" s="3">
        <v>0</v>
      </c>
      <c r="AI12" s="10">
        <f t="shared" si="0"/>
        <v>92</v>
      </c>
      <c r="AJ12" s="10">
        <f t="shared" si="1"/>
        <v>4</v>
      </c>
    </row>
    <row r="13" spans="1:36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0</v>
      </c>
      <c r="AI13" s="10">
        <f t="shared" si="0"/>
        <v>124</v>
      </c>
      <c r="AJ13" s="10">
        <f t="shared" si="1"/>
        <v>2</v>
      </c>
    </row>
    <row r="14" spans="1:36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3">
        <v>5</v>
      </c>
      <c r="AE14" s="3">
        <v>5</v>
      </c>
      <c r="AF14" s="3">
        <v>0</v>
      </c>
      <c r="AG14" s="3">
        <v>5</v>
      </c>
      <c r="AH14" s="3">
        <v>0</v>
      </c>
      <c r="AI14" s="10">
        <f t="shared" si="0"/>
        <v>130</v>
      </c>
      <c r="AJ14" s="10">
        <f t="shared" si="1"/>
        <v>1</v>
      </c>
    </row>
    <row r="15" spans="1:36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3">
        <v>5</v>
      </c>
      <c r="AE15" s="3">
        <v>0</v>
      </c>
      <c r="AF15" s="3">
        <v>5</v>
      </c>
      <c r="AG15" s="3">
        <v>5</v>
      </c>
      <c r="AH15" s="3">
        <v>0</v>
      </c>
      <c r="AI15" s="10">
        <f t="shared" si="0"/>
        <v>95</v>
      </c>
      <c r="AJ15" s="10">
        <f t="shared" si="1"/>
        <v>1</v>
      </c>
    </row>
    <row r="16" spans="1:36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3">
        <v>0</v>
      </c>
      <c r="AE16" s="3">
        <v>5</v>
      </c>
      <c r="AF16" s="3">
        <v>5</v>
      </c>
      <c r="AG16" s="3">
        <v>0</v>
      </c>
      <c r="AH16" s="3">
        <v>5</v>
      </c>
      <c r="AI16" s="10">
        <f t="shared" si="0"/>
        <v>77</v>
      </c>
      <c r="AJ16" s="10">
        <f t="shared" si="1"/>
        <v>1</v>
      </c>
    </row>
    <row r="17" spans="1:36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10"/>
      <c r="AJ17" s="10"/>
    </row>
    <row r="18" spans="1:36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10"/>
      <c r="AJ18" s="10"/>
    </row>
    <row r="19" spans="1:36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10"/>
      <c r="AJ19" s="10"/>
    </row>
    <row r="20" spans="1:36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10"/>
      <c r="AJ20" s="10"/>
    </row>
    <row r="21" spans="1:36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10"/>
      <c r="AJ21" s="10"/>
    </row>
    <row r="22" spans="1:36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10"/>
      <c r="AJ22" s="10"/>
    </row>
    <row r="23" spans="1:36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10"/>
      <c r="AJ23" s="10"/>
    </row>
    <row r="24" spans="1:36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10"/>
      <c r="AJ24" s="10"/>
    </row>
    <row r="25" spans="1:36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10"/>
      <c r="AJ25" s="10"/>
    </row>
    <row r="26" spans="1:36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10"/>
      <c r="AJ26" s="10"/>
    </row>
    <row r="27" spans="1:36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10"/>
      <c r="AJ27" s="10"/>
    </row>
    <row r="28" spans="1:36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10"/>
      <c r="AJ28" s="10"/>
    </row>
    <row r="66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3">
    <dataValidation type="list" allowBlank="1" showInputMessage="1" showErrorMessage="1" sqref="D2:AC2 AD2 AE2 AF2 AG2 AH2">
      <formula1>题型分类!$A$1:$G$1</formula1>
    </dataValidation>
    <dataValidation type="list" allowBlank="1" showInputMessage="1" showErrorMessage="1" sqref="D3:AC3 AE3 AF3 AG3 AH3">
      <formula1>INDIRECT(D2)</formula1>
    </dataValidation>
    <dataValidation type="list" allowBlank="1" showInputMessage="1" showErrorMessage="1" sqref="AD3">
      <formula1>INDIRECT(AE2)</formula1>
    </dataValidation>
  </dataValidation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E68"/>
  <sheetViews>
    <sheetView zoomScale="85" zoomScaleNormal="85"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3</v>
      </c>
      <c r="M4" s="6">
        <v>3</v>
      </c>
      <c r="N4" s="6">
        <v>3</v>
      </c>
      <c r="O4" s="6">
        <v>3</v>
      </c>
      <c r="P4" s="6">
        <v>3</v>
      </c>
      <c r="Q4" s="6">
        <v>3</v>
      </c>
      <c r="R4" s="6">
        <v>3</v>
      </c>
      <c r="S4" s="6">
        <v>3</v>
      </c>
      <c r="T4" s="6">
        <v>3</v>
      </c>
      <c r="U4" s="6">
        <v>3</v>
      </c>
      <c r="V4" s="6">
        <v>8</v>
      </c>
      <c r="W4" s="6">
        <v>8</v>
      </c>
      <c r="X4" s="6">
        <v>10</v>
      </c>
      <c r="Y4" s="6">
        <v>10</v>
      </c>
      <c r="Z4" s="6">
        <v>10</v>
      </c>
      <c r="AA4" s="6">
        <v>6</v>
      </c>
      <c r="AB4" s="6">
        <v>7</v>
      </c>
      <c r="AC4" s="8">
        <v>7</v>
      </c>
      <c r="AD4" s="6">
        <f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0</v>
      </c>
      <c r="H5" s="3">
        <v>3</v>
      </c>
      <c r="I5" s="3">
        <v>3</v>
      </c>
      <c r="J5" s="3">
        <v>3</v>
      </c>
      <c r="K5" s="3">
        <v>3</v>
      </c>
      <c r="L5" s="3">
        <v>3</v>
      </c>
      <c r="M5" s="3">
        <v>0</v>
      </c>
      <c r="N5" s="3">
        <v>3</v>
      </c>
      <c r="O5" s="3">
        <v>0</v>
      </c>
      <c r="P5" s="3">
        <v>3</v>
      </c>
      <c r="Q5" s="3">
        <v>0</v>
      </c>
      <c r="R5" s="3">
        <v>3</v>
      </c>
      <c r="S5" s="3">
        <v>3</v>
      </c>
      <c r="T5" s="3">
        <v>3</v>
      </c>
      <c r="U5" s="3">
        <v>3</v>
      </c>
      <c r="V5" s="3">
        <v>8</v>
      </c>
      <c r="W5" s="3">
        <v>8</v>
      </c>
      <c r="X5" s="3">
        <v>10</v>
      </c>
      <c r="Y5" s="3">
        <v>10</v>
      </c>
      <c r="Z5" s="3">
        <v>0</v>
      </c>
      <c r="AA5" s="3">
        <v>0</v>
      </c>
      <c r="AB5" s="3">
        <v>0</v>
      </c>
      <c r="AC5" s="3">
        <v>0</v>
      </c>
      <c r="AD5" s="10">
        <f>SUM(D5:AC5)</f>
        <v>78</v>
      </c>
      <c r="AE5" s="10">
        <f>RANK(AD5,$AD$5:$AD$28,0)</f>
        <v>4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0</v>
      </c>
      <c r="H6" s="3">
        <v>3</v>
      </c>
      <c r="I6" s="3">
        <v>3</v>
      </c>
      <c r="J6" s="3">
        <v>3</v>
      </c>
      <c r="K6" s="3">
        <v>0</v>
      </c>
      <c r="L6" s="3">
        <v>3</v>
      </c>
      <c r="M6" s="3">
        <v>0</v>
      </c>
      <c r="N6" s="3">
        <v>3</v>
      </c>
      <c r="O6" s="3">
        <v>0</v>
      </c>
      <c r="P6" s="3">
        <v>3</v>
      </c>
      <c r="Q6" s="3">
        <v>0</v>
      </c>
      <c r="R6" s="3">
        <v>3</v>
      </c>
      <c r="S6" s="3">
        <v>3</v>
      </c>
      <c r="T6" s="3">
        <v>3</v>
      </c>
      <c r="U6" s="3">
        <v>3</v>
      </c>
      <c r="V6" s="3">
        <v>8</v>
      </c>
      <c r="W6" s="3">
        <v>8</v>
      </c>
      <c r="X6" s="3">
        <v>10</v>
      </c>
      <c r="Y6" s="3">
        <v>10</v>
      </c>
      <c r="Z6" s="3">
        <v>10</v>
      </c>
      <c r="AA6" s="3">
        <v>0</v>
      </c>
      <c r="AB6" s="3">
        <v>0</v>
      </c>
      <c r="AC6" s="3">
        <v>7</v>
      </c>
      <c r="AD6" s="10">
        <f>SUM(D6:AC6)</f>
        <v>92</v>
      </c>
      <c r="AE6" s="10">
        <f>RANK(AD6,$AD$5:$AD$28,0)</f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0</v>
      </c>
      <c r="E7" s="3">
        <v>3</v>
      </c>
      <c r="F7" s="3">
        <v>0</v>
      </c>
      <c r="G7" s="3">
        <v>0</v>
      </c>
      <c r="H7" s="3">
        <v>3</v>
      </c>
      <c r="I7" s="3">
        <v>0</v>
      </c>
      <c r="J7" s="3">
        <v>0</v>
      </c>
      <c r="K7" s="3">
        <v>0</v>
      </c>
      <c r="L7" s="3">
        <v>3</v>
      </c>
      <c r="M7" s="3">
        <v>0</v>
      </c>
      <c r="N7" s="3">
        <v>3</v>
      </c>
      <c r="O7" s="3">
        <v>0</v>
      </c>
      <c r="P7" s="3">
        <v>3</v>
      </c>
      <c r="Q7" s="3">
        <v>0</v>
      </c>
      <c r="R7" s="3">
        <v>3</v>
      </c>
      <c r="S7" s="3">
        <v>3</v>
      </c>
      <c r="T7" s="3">
        <v>0</v>
      </c>
      <c r="U7" s="3">
        <v>3</v>
      </c>
      <c r="V7" s="3">
        <v>0</v>
      </c>
      <c r="W7" s="3">
        <v>8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10">
        <f>SUM(D7:AC7)</f>
        <v>32</v>
      </c>
      <c r="AE7" s="10">
        <f>RANK(AD7,$AD$5:$AD$28,0)</f>
        <v>12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</v>
      </c>
      <c r="M8" s="3">
        <v>0</v>
      </c>
      <c r="N8" s="3">
        <v>3</v>
      </c>
      <c r="O8" s="3">
        <v>0</v>
      </c>
      <c r="P8" s="3">
        <v>3</v>
      </c>
      <c r="Q8" s="3">
        <v>3</v>
      </c>
      <c r="R8" s="3">
        <v>3</v>
      </c>
      <c r="S8" s="3">
        <v>3</v>
      </c>
      <c r="T8" s="3">
        <v>3</v>
      </c>
      <c r="U8" s="3">
        <v>3</v>
      </c>
      <c r="V8" s="3">
        <v>8</v>
      </c>
      <c r="W8" s="3">
        <v>0</v>
      </c>
      <c r="X8" s="3">
        <v>10</v>
      </c>
      <c r="Y8" s="3">
        <v>10</v>
      </c>
      <c r="Z8" s="3">
        <v>0</v>
      </c>
      <c r="AA8" s="3">
        <v>0</v>
      </c>
      <c r="AB8" s="3">
        <v>0</v>
      </c>
      <c r="AC8" s="3">
        <v>0</v>
      </c>
      <c r="AD8" s="10">
        <f>SUM(D8:AC8)</f>
        <v>61</v>
      </c>
      <c r="AE8" s="10">
        <f>RANK(AD8,$AD$5:$AD$28,0)</f>
        <v>9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0</v>
      </c>
      <c r="F9" s="3">
        <v>0</v>
      </c>
      <c r="G9" s="3">
        <v>0</v>
      </c>
      <c r="H9" s="3">
        <v>3</v>
      </c>
      <c r="I9" s="3">
        <v>3</v>
      </c>
      <c r="J9" s="3">
        <v>3</v>
      </c>
      <c r="K9" s="3">
        <v>0</v>
      </c>
      <c r="L9" s="3">
        <v>3</v>
      </c>
      <c r="M9" s="3">
        <v>0</v>
      </c>
      <c r="N9" s="3">
        <v>3</v>
      </c>
      <c r="O9" s="3">
        <v>0</v>
      </c>
      <c r="P9" s="3">
        <v>3</v>
      </c>
      <c r="Q9" s="3">
        <v>0</v>
      </c>
      <c r="R9" s="3">
        <v>3</v>
      </c>
      <c r="S9" s="3">
        <v>3</v>
      </c>
      <c r="T9" s="3">
        <v>3</v>
      </c>
      <c r="U9" s="3">
        <v>3</v>
      </c>
      <c r="V9" s="3">
        <v>8</v>
      </c>
      <c r="W9" s="3">
        <v>0</v>
      </c>
      <c r="X9" s="3">
        <v>10</v>
      </c>
      <c r="Y9" s="3">
        <v>10</v>
      </c>
      <c r="Z9" s="3">
        <v>0</v>
      </c>
      <c r="AA9" s="3">
        <v>0</v>
      </c>
      <c r="AB9" s="3">
        <v>0</v>
      </c>
      <c r="AC9" s="3">
        <v>0</v>
      </c>
      <c r="AD9" s="10">
        <f t="shared" ref="AD9:AD16" si="0">SUM(D9:AC9)</f>
        <v>61</v>
      </c>
      <c r="AE9" s="10">
        <f t="shared" ref="AE9:AE16" si="1">RANK(AD9,$AD$5:$AD$28,0)</f>
        <v>9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0</v>
      </c>
      <c r="G10" s="3">
        <v>0</v>
      </c>
      <c r="H10" s="3">
        <v>3</v>
      </c>
      <c r="I10" s="3">
        <v>3</v>
      </c>
      <c r="J10" s="3">
        <v>3</v>
      </c>
      <c r="K10" s="3">
        <v>3</v>
      </c>
      <c r="L10" s="3">
        <v>3</v>
      </c>
      <c r="M10" s="3">
        <v>0</v>
      </c>
      <c r="N10" s="3">
        <v>3</v>
      </c>
      <c r="O10" s="3">
        <v>0</v>
      </c>
      <c r="P10" s="3">
        <v>0</v>
      </c>
      <c r="Q10" s="3">
        <v>0</v>
      </c>
      <c r="R10" s="3">
        <v>3</v>
      </c>
      <c r="S10" s="3">
        <v>3</v>
      </c>
      <c r="T10" s="3">
        <v>3</v>
      </c>
      <c r="U10" s="3">
        <v>3</v>
      </c>
      <c r="V10" s="3">
        <v>8</v>
      </c>
      <c r="W10" s="3">
        <v>8</v>
      </c>
      <c r="X10" s="3">
        <v>10</v>
      </c>
      <c r="Y10" s="3">
        <v>10</v>
      </c>
      <c r="Z10" s="3">
        <v>0</v>
      </c>
      <c r="AA10" s="3">
        <v>0</v>
      </c>
      <c r="AB10" s="3">
        <v>0</v>
      </c>
      <c r="AC10" s="3">
        <v>7</v>
      </c>
      <c r="AD10" s="10">
        <f t="shared" si="0"/>
        <v>79</v>
      </c>
      <c r="AE10" s="10">
        <f t="shared" si="1"/>
        <v>3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3</v>
      </c>
      <c r="F11" s="3">
        <v>0</v>
      </c>
      <c r="G11" s="3">
        <v>0</v>
      </c>
      <c r="H11" s="3">
        <v>0</v>
      </c>
      <c r="I11" s="3">
        <v>3</v>
      </c>
      <c r="J11" s="3">
        <v>3</v>
      </c>
      <c r="K11" s="3">
        <v>3</v>
      </c>
      <c r="L11" s="3">
        <v>3</v>
      </c>
      <c r="M11" s="3">
        <v>3</v>
      </c>
      <c r="N11" s="3">
        <v>3</v>
      </c>
      <c r="O11" s="3">
        <v>0</v>
      </c>
      <c r="P11" s="3">
        <v>3</v>
      </c>
      <c r="Q11" s="3">
        <v>0</v>
      </c>
      <c r="R11" s="3">
        <v>3</v>
      </c>
      <c r="S11" s="3">
        <v>3</v>
      </c>
      <c r="T11" s="3">
        <v>3</v>
      </c>
      <c r="U11" s="3">
        <v>3</v>
      </c>
      <c r="V11" s="3">
        <v>8</v>
      </c>
      <c r="W11" s="3">
        <v>0</v>
      </c>
      <c r="X11" s="3">
        <v>10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10">
        <f t="shared" si="0"/>
        <v>57</v>
      </c>
      <c r="AE11" s="10">
        <f t="shared" si="1"/>
        <v>11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0</v>
      </c>
      <c r="H12" s="3">
        <v>3</v>
      </c>
      <c r="I12" s="3">
        <v>3</v>
      </c>
      <c r="J12" s="3">
        <v>3</v>
      </c>
      <c r="K12" s="3">
        <v>0</v>
      </c>
      <c r="L12" s="3">
        <v>3</v>
      </c>
      <c r="M12" s="3">
        <v>3</v>
      </c>
      <c r="N12" s="3">
        <v>3</v>
      </c>
      <c r="O12" s="3">
        <v>0</v>
      </c>
      <c r="P12" s="3">
        <v>3</v>
      </c>
      <c r="Q12" s="3">
        <v>3</v>
      </c>
      <c r="R12" s="3">
        <v>0</v>
      </c>
      <c r="S12" s="3">
        <v>3</v>
      </c>
      <c r="T12" s="3">
        <v>3</v>
      </c>
      <c r="U12" s="3">
        <v>3</v>
      </c>
      <c r="V12" s="3">
        <v>8</v>
      </c>
      <c r="W12" s="3">
        <v>0</v>
      </c>
      <c r="X12" s="3">
        <v>10</v>
      </c>
      <c r="Y12" s="3">
        <v>10</v>
      </c>
      <c r="Z12" s="3">
        <v>0</v>
      </c>
      <c r="AA12" s="3">
        <v>0</v>
      </c>
      <c r="AB12" s="3">
        <v>0</v>
      </c>
      <c r="AC12" s="3">
        <v>0</v>
      </c>
      <c r="AD12" s="10">
        <f t="shared" si="0"/>
        <v>70</v>
      </c>
      <c r="AE12" s="10">
        <f t="shared" si="1"/>
        <v>6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3</v>
      </c>
      <c r="F13" s="3">
        <v>0</v>
      </c>
      <c r="G13" s="3">
        <v>0</v>
      </c>
      <c r="H13" s="3">
        <v>3</v>
      </c>
      <c r="I13" s="3">
        <v>0</v>
      </c>
      <c r="J13" s="3">
        <v>3</v>
      </c>
      <c r="K13" s="3">
        <v>0</v>
      </c>
      <c r="L13" s="3">
        <v>3</v>
      </c>
      <c r="M13" s="3">
        <v>0</v>
      </c>
      <c r="N13" s="3">
        <v>3</v>
      </c>
      <c r="O13" s="3">
        <v>0</v>
      </c>
      <c r="P13" s="3">
        <v>3</v>
      </c>
      <c r="Q13" s="3">
        <v>3</v>
      </c>
      <c r="R13" s="3">
        <v>3</v>
      </c>
      <c r="S13" s="3">
        <v>3</v>
      </c>
      <c r="T13" s="3">
        <v>3</v>
      </c>
      <c r="U13" s="3">
        <v>3</v>
      </c>
      <c r="V13" s="3">
        <v>8</v>
      </c>
      <c r="W13" s="3">
        <v>8</v>
      </c>
      <c r="X13" s="3">
        <v>10</v>
      </c>
      <c r="Y13" s="3">
        <v>10</v>
      </c>
      <c r="Z13" s="3">
        <v>0</v>
      </c>
      <c r="AA13" s="3">
        <v>0</v>
      </c>
      <c r="AB13" s="3">
        <v>0</v>
      </c>
      <c r="AC13" s="3">
        <v>0</v>
      </c>
      <c r="AD13" s="10">
        <f t="shared" si="0"/>
        <v>72</v>
      </c>
      <c r="AE13" s="10">
        <f t="shared" si="1"/>
        <v>5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0</v>
      </c>
      <c r="H14" s="3">
        <v>3</v>
      </c>
      <c r="I14" s="3">
        <v>3</v>
      </c>
      <c r="J14" s="3">
        <v>3</v>
      </c>
      <c r="K14" s="3">
        <v>3</v>
      </c>
      <c r="L14" s="3">
        <v>3</v>
      </c>
      <c r="M14" s="3">
        <v>3</v>
      </c>
      <c r="N14" s="3">
        <v>3</v>
      </c>
      <c r="O14" s="3">
        <v>0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3</v>
      </c>
      <c r="V14" s="3">
        <v>8</v>
      </c>
      <c r="W14" s="3">
        <v>8</v>
      </c>
      <c r="X14" s="3">
        <v>10</v>
      </c>
      <c r="Y14" s="3">
        <v>10</v>
      </c>
      <c r="Z14" s="3">
        <v>0</v>
      </c>
      <c r="AA14" s="3">
        <v>0</v>
      </c>
      <c r="AB14" s="3">
        <v>0</v>
      </c>
      <c r="AC14" s="3">
        <v>7</v>
      </c>
      <c r="AD14" s="10">
        <f t="shared" si="0"/>
        <v>91</v>
      </c>
      <c r="AE14" s="10">
        <f t="shared" si="1"/>
        <v>2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3</v>
      </c>
      <c r="F15" s="3">
        <v>0</v>
      </c>
      <c r="G15" s="3">
        <v>0</v>
      </c>
      <c r="H15" s="3">
        <v>0</v>
      </c>
      <c r="I15" s="3">
        <v>3</v>
      </c>
      <c r="J15" s="3">
        <v>0</v>
      </c>
      <c r="K15" s="3">
        <v>0</v>
      </c>
      <c r="L15" s="3">
        <v>3</v>
      </c>
      <c r="M15" s="3">
        <v>0</v>
      </c>
      <c r="N15" s="3">
        <v>3</v>
      </c>
      <c r="O15" s="3">
        <v>0</v>
      </c>
      <c r="P15" s="3">
        <v>3</v>
      </c>
      <c r="Q15" s="3">
        <v>0</v>
      </c>
      <c r="R15" s="3">
        <v>3</v>
      </c>
      <c r="S15" s="3">
        <v>3</v>
      </c>
      <c r="T15" s="3">
        <v>3</v>
      </c>
      <c r="U15" s="3">
        <v>3</v>
      </c>
      <c r="V15" s="3">
        <v>8</v>
      </c>
      <c r="W15" s="3">
        <v>8</v>
      </c>
      <c r="X15" s="3">
        <v>10</v>
      </c>
      <c r="Y15" s="3">
        <v>10</v>
      </c>
      <c r="Z15" s="3">
        <v>0</v>
      </c>
      <c r="AA15" s="3">
        <v>0</v>
      </c>
      <c r="AB15" s="3">
        <v>0</v>
      </c>
      <c r="AC15" s="3">
        <v>0</v>
      </c>
      <c r="AD15" s="10">
        <f t="shared" si="0"/>
        <v>66</v>
      </c>
      <c r="AE15" s="10">
        <f t="shared" si="1"/>
        <v>7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3</v>
      </c>
      <c r="E16" s="3">
        <v>3</v>
      </c>
      <c r="F16" s="3">
        <v>0</v>
      </c>
      <c r="G16" s="3">
        <v>3</v>
      </c>
      <c r="H16" s="3">
        <v>3</v>
      </c>
      <c r="I16" s="3">
        <v>3</v>
      </c>
      <c r="J16" s="3">
        <v>3</v>
      </c>
      <c r="K16" s="3">
        <v>0</v>
      </c>
      <c r="L16" s="3">
        <v>3</v>
      </c>
      <c r="M16" s="3">
        <v>3</v>
      </c>
      <c r="N16" s="3">
        <v>3</v>
      </c>
      <c r="O16" s="3">
        <v>0</v>
      </c>
      <c r="P16" s="3">
        <v>3</v>
      </c>
      <c r="Q16" s="3">
        <v>0</v>
      </c>
      <c r="R16" s="3">
        <v>3</v>
      </c>
      <c r="S16" s="3">
        <v>3</v>
      </c>
      <c r="T16" s="3">
        <v>3</v>
      </c>
      <c r="U16" s="3">
        <v>0</v>
      </c>
      <c r="V16" s="3">
        <v>8</v>
      </c>
      <c r="W16" s="3">
        <v>8</v>
      </c>
      <c r="X16" s="3">
        <v>0</v>
      </c>
      <c r="Y16" s="3">
        <v>10</v>
      </c>
      <c r="Z16" s="3">
        <v>0</v>
      </c>
      <c r="AA16" s="3">
        <v>0</v>
      </c>
      <c r="AB16" s="3">
        <v>0</v>
      </c>
      <c r="AC16" s="3">
        <v>0</v>
      </c>
      <c r="AD16" s="10">
        <f t="shared" si="0"/>
        <v>65</v>
      </c>
      <c r="AE16" s="10">
        <f t="shared" si="1"/>
        <v>8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2" sqref="AB2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 t="shared" ref="AE5:AE16" si="1">RANK(AD5,AD5:AD28,0)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 t="shared" si="1"/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si="1"/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5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4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2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4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2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1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"/>
  <sheetViews>
    <sheetView workbookViewId="0">
      <selection activeCell="AB3" sqref="AB3"/>
    </sheetView>
  </sheetViews>
  <sheetFormatPr defaultColWidth="9" defaultRowHeight="13.5"/>
  <cols>
    <col min="1" max="1" width="6.625" style="2" customWidth="1"/>
    <col min="2" max="2" width="7.35" style="2" customWidth="1"/>
    <col min="3" max="29" width="6.625" style="2" customWidth="1"/>
    <col min="30" max="16384" width="9" style="2"/>
  </cols>
  <sheetData>
    <row r="1" s="2" customFormat="1" spans="1:31">
      <c r="A1" s="3" t="s">
        <v>0</v>
      </c>
      <c r="B1" s="3" t="s">
        <v>1</v>
      </c>
      <c r="C1" s="4" t="s">
        <v>2</v>
      </c>
      <c r="D1" s="5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5">
        <v>17</v>
      </c>
      <c r="U1" s="5">
        <v>18</v>
      </c>
      <c r="V1" s="5">
        <v>19</v>
      </c>
      <c r="W1" s="5">
        <v>20</v>
      </c>
      <c r="X1" s="5">
        <v>21</v>
      </c>
      <c r="Y1" s="5">
        <v>22</v>
      </c>
      <c r="Z1" s="5">
        <v>23</v>
      </c>
      <c r="AA1" s="5">
        <v>24</v>
      </c>
      <c r="AB1" s="5">
        <v>25</v>
      </c>
      <c r="AC1" s="5">
        <v>26</v>
      </c>
      <c r="AD1" s="4" t="s">
        <v>3</v>
      </c>
      <c r="AE1" s="4" t="s">
        <v>4</v>
      </c>
    </row>
    <row r="2" s="2" customFormat="1" spans="1:31">
      <c r="A2" s="6"/>
      <c r="B2" s="6"/>
      <c r="C2" s="6"/>
      <c r="D2" s="7" t="s">
        <v>5</v>
      </c>
      <c r="E2" s="7" t="s">
        <v>6</v>
      </c>
      <c r="F2" s="7" t="s">
        <v>6</v>
      </c>
      <c r="G2" s="7" t="s">
        <v>7</v>
      </c>
      <c r="H2" s="7" t="s">
        <v>8</v>
      </c>
      <c r="I2" s="7" t="s">
        <v>7</v>
      </c>
      <c r="J2" s="7" t="s">
        <v>9</v>
      </c>
      <c r="K2" s="7" t="s">
        <v>8</v>
      </c>
      <c r="L2" s="7" t="s">
        <v>10</v>
      </c>
      <c r="M2" s="7" t="s">
        <v>6</v>
      </c>
      <c r="N2" s="7" t="s">
        <v>8</v>
      </c>
      <c r="O2" s="7" t="s">
        <v>6</v>
      </c>
      <c r="P2" s="7" t="s">
        <v>8</v>
      </c>
      <c r="Q2" s="7" t="s">
        <v>10</v>
      </c>
      <c r="R2" s="7" t="s">
        <v>7</v>
      </c>
      <c r="S2" s="7" t="s">
        <v>11</v>
      </c>
      <c r="T2" s="7" t="s">
        <v>7</v>
      </c>
      <c r="U2" s="7" t="s">
        <v>10</v>
      </c>
      <c r="V2" s="7" t="s">
        <v>7</v>
      </c>
      <c r="W2" s="7" t="s">
        <v>10</v>
      </c>
      <c r="X2" s="7" t="s">
        <v>9</v>
      </c>
      <c r="Y2" s="7" t="s">
        <v>6</v>
      </c>
      <c r="Z2" s="7" t="s">
        <v>10</v>
      </c>
      <c r="AA2" s="7" t="s">
        <v>7</v>
      </c>
      <c r="AB2" s="7" t="s">
        <v>5</v>
      </c>
      <c r="AC2" s="7" t="s">
        <v>7</v>
      </c>
      <c r="AD2" s="6"/>
      <c r="AE2" s="6"/>
    </row>
    <row r="3" s="2" customFormat="1" spans="1:31">
      <c r="A3" s="6"/>
      <c r="B3" s="6"/>
      <c r="C3" s="6"/>
      <c r="D3" s="6" t="s">
        <v>12</v>
      </c>
      <c r="E3" s="6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18</v>
      </c>
      <c r="K3" s="6" t="s">
        <v>19</v>
      </c>
      <c r="L3" s="6" t="s">
        <v>20</v>
      </c>
      <c r="M3" s="6" t="s">
        <v>21</v>
      </c>
      <c r="N3" s="6" t="s">
        <v>22</v>
      </c>
      <c r="O3" s="6" t="s">
        <v>23</v>
      </c>
      <c r="P3" s="6" t="s">
        <v>22</v>
      </c>
      <c r="Q3" s="6" t="s">
        <v>24</v>
      </c>
      <c r="R3" s="6" t="s">
        <v>15</v>
      </c>
      <c r="S3" s="6" t="s">
        <v>25</v>
      </c>
      <c r="T3" s="6" t="s">
        <v>17</v>
      </c>
      <c r="U3" s="6" t="s">
        <v>26</v>
      </c>
      <c r="V3" s="6" t="s">
        <v>27</v>
      </c>
      <c r="W3" s="6" t="s">
        <v>20</v>
      </c>
      <c r="X3" s="6" t="s">
        <v>28</v>
      </c>
      <c r="Y3" s="6" t="s">
        <v>23</v>
      </c>
      <c r="Z3" s="6" t="s">
        <v>20</v>
      </c>
      <c r="AA3" s="6" t="s">
        <v>27</v>
      </c>
      <c r="AB3" s="6" t="s">
        <v>29</v>
      </c>
      <c r="AC3" s="6" t="s">
        <v>27</v>
      </c>
      <c r="AD3" s="6"/>
      <c r="AE3" s="6"/>
    </row>
    <row r="4" s="2" customFormat="1" spans="1:31">
      <c r="A4" s="6"/>
      <c r="B4" s="6"/>
      <c r="C4" s="6"/>
      <c r="D4" s="6">
        <v>3</v>
      </c>
      <c r="E4" s="6">
        <v>3</v>
      </c>
      <c r="F4" s="6">
        <v>3</v>
      </c>
      <c r="G4" s="6">
        <v>3</v>
      </c>
      <c r="H4" s="6">
        <v>3</v>
      </c>
      <c r="I4" s="6">
        <v>3</v>
      </c>
      <c r="J4" s="6">
        <v>3</v>
      </c>
      <c r="K4" s="6">
        <v>3</v>
      </c>
      <c r="L4" s="6">
        <v>5</v>
      </c>
      <c r="M4" s="6">
        <v>5</v>
      </c>
      <c r="N4" s="6">
        <v>5</v>
      </c>
      <c r="O4" s="6">
        <v>5</v>
      </c>
      <c r="P4" s="6">
        <v>5</v>
      </c>
      <c r="Q4" s="6">
        <v>5</v>
      </c>
      <c r="R4" s="6">
        <v>5</v>
      </c>
      <c r="S4" s="6">
        <v>5</v>
      </c>
      <c r="T4" s="6">
        <v>5</v>
      </c>
      <c r="U4" s="6">
        <v>5</v>
      </c>
      <c r="V4" s="6">
        <v>6</v>
      </c>
      <c r="W4" s="6">
        <v>6</v>
      </c>
      <c r="X4" s="6">
        <v>7</v>
      </c>
      <c r="Y4" s="6">
        <v>7</v>
      </c>
      <c r="Z4" s="6">
        <v>5</v>
      </c>
      <c r="AA4" s="6">
        <v>5</v>
      </c>
      <c r="AB4" s="6">
        <v>5</v>
      </c>
      <c r="AC4" s="8">
        <v>5</v>
      </c>
      <c r="AD4" s="6">
        <f t="shared" ref="AD4:AD16" si="0">SUM(D4:AC4)</f>
        <v>120</v>
      </c>
      <c r="AE4" s="6"/>
    </row>
    <row r="5" s="2" customFormat="1" spans="1:31">
      <c r="A5" s="9" t="s">
        <v>30</v>
      </c>
      <c r="B5" s="3" t="s">
        <v>31</v>
      </c>
      <c r="C5" s="3" t="s">
        <v>32</v>
      </c>
      <c r="D5" s="3">
        <v>3</v>
      </c>
      <c r="E5" s="3">
        <v>3</v>
      </c>
      <c r="F5" s="3">
        <v>3</v>
      </c>
      <c r="G5" s="3">
        <v>3</v>
      </c>
      <c r="H5" s="3">
        <v>3</v>
      </c>
      <c r="I5" s="3">
        <v>3</v>
      </c>
      <c r="J5" s="3">
        <v>3</v>
      </c>
      <c r="K5" s="3">
        <v>0</v>
      </c>
      <c r="L5" s="3">
        <v>0</v>
      </c>
      <c r="M5" s="3">
        <v>0</v>
      </c>
      <c r="N5" s="3">
        <v>0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6</v>
      </c>
      <c r="W5" s="3">
        <v>6</v>
      </c>
      <c r="X5" s="3">
        <v>7</v>
      </c>
      <c r="Y5" s="3">
        <v>7</v>
      </c>
      <c r="Z5" s="3">
        <v>5</v>
      </c>
      <c r="AA5" s="3">
        <v>5</v>
      </c>
      <c r="AB5" s="3">
        <v>5</v>
      </c>
      <c r="AC5" s="3">
        <v>5</v>
      </c>
      <c r="AD5" s="10">
        <f t="shared" si="0"/>
        <v>102</v>
      </c>
      <c r="AE5" s="10">
        <f>RANK(AD5,$AD$5:$AD$28,0)</f>
        <v>7</v>
      </c>
    </row>
    <row r="6" s="2" customFormat="1" spans="1:31">
      <c r="A6" s="9" t="s">
        <v>33</v>
      </c>
      <c r="B6" s="3" t="s">
        <v>31</v>
      </c>
      <c r="C6" s="3" t="s">
        <v>32</v>
      </c>
      <c r="D6" s="3">
        <v>3</v>
      </c>
      <c r="E6" s="3">
        <v>3</v>
      </c>
      <c r="F6" s="3">
        <v>3</v>
      </c>
      <c r="G6" s="3">
        <v>3</v>
      </c>
      <c r="H6" s="3">
        <v>3</v>
      </c>
      <c r="I6" s="3">
        <v>3</v>
      </c>
      <c r="J6" s="3">
        <v>3</v>
      </c>
      <c r="K6" s="3">
        <v>3</v>
      </c>
      <c r="L6" s="3">
        <v>5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6</v>
      </c>
      <c r="W6" s="3">
        <v>6</v>
      </c>
      <c r="X6" s="3">
        <v>7</v>
      </c>
      <c r="Y6" s="3">
        <v>7</v>
      </c>
      <c r="Z6" s="3">
        <v>5</v>
      </c>
      <c r="AA6" s="3">
        <v>5</v>
      </c>
      <c r="AB6" s="3">
        <v>5</v>
      </c>
      <c r="AC6" s="3">
        <v>5</v>
      </c>
      <c r="AD6" s="10">
        <f t="shared" si="0"/>
        <v>120</v>
      </c>
      <c r="AE6" s="10">
        <f>RANK(AD6,$AD$5:$AD$28,0)</f>
        <v>1</v>
      </c>
    </row>
    <row r="7" s="2" customFormat="1" spans="1:31">
      <c r="A7" s="9" t="s">
        <v>34</v>
      </c>
      <c r="B7" s="3" t="s">
        <v>31</v>
      </c>
      <c r="C7" s="3" t="s">
        <v>32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6</v>
      </c>
      <c r="W7" s="3">
        <v>6</v>
      </c>
      <c r="X7" s="3">
        <v>7</v>
      </c>
      <c r="Y7" s="3">
        <v>7</v>
      </c>
      <c r="Z7" s="3">
        <v>5</v>
      </c>
      <c r="AA7" s="3">
        <v>5</v>
      </c>
      <c r="AB7" s="3">
        <v>5</v>
      </c>
      <c r="AC7" s="3">
        <v>5</v>
      </c>
      <c r="AD7" s="10">
        <f t="shared" si="0"/>
        <v>120</v>
      </c>
      <c r="AE7" s="10">
        <f t="shared" ref="AE7:AE16" si="1">RANK(AD7,$AD$5:$AD$28,0)</f>
        <v>1</v>
      </c>
    </row>
    <row r="8" s="2" customFormat="1" spans="1:31">
      <c r="A8" s="9" t="s">
        <v>35</v>
      </c>
      <c r="B8" s="3" t="s">
        <v>31</v>
      </c>
      <c r="C8" s="3" t="s">
        <v>32</v>
      </c>
      <c r="D8" s="3">
        <v>3</v>
      </c>
      <c r="E8" s="3">
        <v>3</v>
      </c>
      <c r="F8" s="3">
        <v>3</v>
      </c>
      <c r="G8" s="3">
        <v>0</v>
      </c>
      <c r="H8" s="3">
        <v>0</v>
      </c>
      <c r="I8" s="3">
        <v>3</v>
      </c>
      <c r="J8" s="3">
        <v>0</v>
      </c>
      <c r="K8" s="3">
        <v>3</v>
      </c>
      <c r="L8" s="3">
        <v>5</v>
      </c>
      <c r="M8" s="3">
        <v>0</v>
      </c>
      <c r="N8" s="3">
        <v>5</v>
      </c>
      <c r="O8" s="3">
        <v>5</v>
      </c>
      <c r="P8" s="3">
        <v>0</v>
      </c>
      <c r="Q8" s="3">
        <v>5</v>
      </c>
      <c r="R8" s="3">
        <v>5</v>
      </c>
      <c r="S8" s="3">
        <v>0</v>
      </c>
      <c r="T8" s="3">
        <v>5</v>
      </c>
      <c r="U8" s="3">
        <v>0</v>
      </c>
      <c r="V8" s="3">
        <v>6</v>
      </c>
      <c r="W8" s="3">
        <v>6</v>
      </c>
      <c r="X8" s="3">
        <v>0</v>
      </c>
      <c r="Y8" s="3">
        <v>7</v>
      </c>
      <c r="Z8" s="3">
        <v>5</v>
      </c>
      <c r="AA8" s="3">
        <v>5</v>
      </c>
      <c r="AB8" s="3">
        <v>5</v>
      </c>
      <c r="AC8" s="3">
        <v>5</v>
      </c>
      <c r="AD8" s="10">
        <f t="shared" si="0"/>
        <v>84</v>
      </c>
      <c r="AE8" s="10">
        <f t="shared" si="1"/>
        <v>8</v>
      </c>
    </row>
    <row r="9" s="2" customFormat="1" spans="1:31">
      <c r="A9" s="9" t="s">
        <v>36</v>
      </c>
      <c r="B9" s="3" t="s">
        <v>31</v>
      </c>
      <c r="C9" s="3" t="s">
        <v>32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5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5</v>
      </c>
      <c r="T9" s="3">
        <v>5</v>
      </c>
      <c r="U9" s="3">
        <v>5</v>
      </c>
      <c r="V9" s="3">
        <v>6</v>
      </c>
      <c r="W9" s="3">
        <v>6</v>
      </c>
      <c r="X9" s="3">
        <v>7</v>
      </c>
      <c r="Y9" s="3">
        <v>7</v>
      </c>
      <c r="Z9" s="3">
        <v>5</v>
      </c>
      <c r="AA9" s="3">
        <v>5</v>
      </c>
      <c r="AB9" s="3">
        <v>5</v>
      </c>
      <c r="AC9" s="3">
        <v>5</v>
      </c>
      <c r="AD9" s="10">
        <f t="shared" si="0"/>
        <v>120</v>
      </c>
      <c r="AE9" s="10">
        <f t="shared" si="1"/>
        <v>1</v>
      </c>
    </row>
    <row r="10" s="2" customFormat="1" spans="1:31">
      <c r="A10" s="9" t="s">
        <v>37</v>
      </c>
      <c r="B10" s="3" t="s">
        <v>31</v>
      </c>
      <c r="C10" s="3" t="s">
        <v>32</v>
      </c>
      <c r="D10" s="3">
        <v>3</v>
      </c>
      <c r="E10" s="3">
        <v>3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0</v>
      </c>
      <c r="L10" s="3">
        <v>5</v>
      </c>
      <c r="M10" s="3">
        <v>5</v>
      </c>
      <c r="N10" s="3">
        <v>5</v>
      </c>
      <c r="O10" s="3">
        <v>5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  <c r="U10" s="3">
        <v>5</v>
      </c>
      <c r="V10" s="3">
        <v>0</v>
      </c>
      <c r="W10" s="3">
        <v>6</v>
      </c>
      <c r="X10" s="3">
        <v>7</v>
      </c>
      <c r="Y10" s="3">
        <v>0</v>
      </c>
      <c r="Z10" s="3">
        <v>5</v>
      </c>
      <c r="AA10" s="3">
        <v>5</v>
      </c>
      <c r="AB10" s="3">
        <v>5</v>
      </c>
      <c r="AC10" s="3">
        <v>5</v>
      </c>
      <c r="AD10" s="10">
        <f t="shared" si="0"/>
        <v>84</v>
      </c>
      <c r="AE10" s="10">
        <f t="shared" si="1"/>
        <v>8</v>
      </c>
    </row>
    <row r="11" s="2" customFormat="1" spans="1:31">
      <c r="A11" s="9" t="s">
        <v>38</v>
      </c>
      <c r="B11" s="3" t="s">
        <v>31</v>
      </c>
      <c r="C11" s="3" t="s">
        <v>32</v>
      </c>
      <c r="D11" s="3">
        <v>3</v>
      </c>
      <c r="E11" s="3">
        <v>0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  <c r="K11" s="3">
        <v>3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6</v>
      </c>
      <c r="W11" s="3">
        <v>6</v>
      </c>
      <c r="X11" s="3">
        <v>7</v>
      </c>
      <c r="Y11" s="3">
        <v>7</v>
      </c>
      <c r="Z11" s="3">
        <v>5</v>
      </c>
      <c r="AA11" s="3">
        <v>5</v>
      </c>
      <c r="AB11" s="3">
        <v>5</v>
      </c>
      <c r="AC11" s="3">
        <v>5</v>
      </c>
      <c r="AD11" s="10">
        <f t="shared" si="0"/>
        <v>108</v>
      </c>
      <c r="AE11" s="10">
        <f t="shared" si="1"/>
        <v>5</v>
      </c>
    </row>
    <row r="12" s="2" customFormat="1" spans="1:31">
      <c r="A12" s="9" t="s">
        <v>39</v>
      </c>
      <c r="B12" s="3" t="s">
        <v>31</v>
      </c>
      <c r="C12" s="3" t="s">
        <v>32</v>
      </c>
      <c r="D12" s="3">
        <v>3</v>
      </c>
      <c r="E12" s="3">
        <v>3</v>
      </c>
      <c r="F12" s="3">
        <v>3</v>
      </c>
      <c r="G12" s="3">
        <v>3</v>
      </c>
      <c r="H12" s="3">
        <v>3</v>
      </c>
      <c r="I12" s="3">
        <v>0</v>
      </c>
      <c r="J12" s="3">
        <v>3</v>
      </c>
      <c r="K12" s="3">
        <v>0</v>
      </c>
      <c r="L12" s="3">
        <v>5</v>
      </c>
      <c r="M12" s="3">
        <v>0</v>
      </c>
      <c r="N12" s="3">
        <v>0</v>
      </c>
      <c r="O12" s="3">
        <v>0</v>
      </c>
      <c r="P12" s="3">
        <v>0</v>
      </c>
      <c r="Q12" s="3">
        <v>5</v>
      </c>
      <c r="R12" s="3">
        <v>5</v>
      </c>
      <c r="S12" s="3">
        <v>5</v>
      </c>
      <c r="T12" s="3">
        <v>0</v>
      </c>
      <c r="U12" s="3">
        <v>5</v>
      </c>
      <c r="V12" s="3">
        <v>6</v>
      </c>
      <c r="W12" s="3">
        <v>6</v>
      </c>
      <c r="X12" s="3">
        <v>7</v>
      </c>
      <c r="Y12" s="3">
        <v>0</v>
      </c>
      <c r="Z12" s="3">
        <v>0</v>
      </c>
      <c r="AA12" s="3">
        <v>5</v>
      </c>
      <c r="AB12" s="3">
        <v>5</v>
      </c>
      <c r="AC12" s="3">
        <v>5</v>
      </c>
      <c r="AD12" s="10">
        <f t="shared" si="0"/>
        <v>77</v>
      </c>
      <c r="AE12" s="10">
        <f t="shared" si="1"/>
        <v>11</v>
      </c>
    </row>
    <row r="13" s="2" customFormat="1" spans="1:31">
      <c r="A13" s="9" t="s">
        <v>40</v>
      </c>
      <c r="B13" s="3" t="s">
        <v>31</v>
      </c>
      <c r="C13" s="3" t="s">
        <v>32</v>
      </c>
      <c r="D13" s="3">
        <v>3</v>
      </c>
      <c r="E13" s="3">
        <v>0</v>
      </c>
      <c r="F13" s="3">
        <v>3</v>
      </c>
      <c r="G13" s="3">
        <v>0</v>
      </c>
      <c r="H13" s="3">
        <v>3</v>
      </c>
      <c r="I13" s="3">
        <v>3</v>
      </c>
      <c r="J13" s="3">
        <v>3</v>
      </c>
      <c r="K13" s="3">
        <v>3</v>
      </c>
      <c r="L13" s="3">
        <v>5</v>
      </c>
      <c r="M13" s="3">
        <v>5</v>
      </c>
      <c r="N13" s="3">
        <v>5</v>
      </c>
      <c r="O13" s="3">
        <v>5</v>
      </c>
      <c r="P13" s="3">
        <v>5</v>
      </c>
      <c r="Q13" s="3">
        <v>5</v>
      </c>
      <c r="R13" s="3">
        <v>0</v>
      </c>
      <c r="S13" s="3">
        <v>5</v>
      </c>
      <c r="T13" s="3">
        <v>5</v>
      </c>
      <c r="U13" s="3">
        <v>5</v>
      </c>
      <c r="V13" s="3">
        <v>6</v>
      </c>
      <c r="W13" s="3">
        <v>6</v>
      </c>
      <c r="X13" s="3">
        <v>7</v>
      </c>
      <c r="Y13" s="3">
        <v>7</v>
      </c>
      <c r="Z13" s="3">
        <v>5</v>
      </c>
      <c r="AA13" s="3">
        <v>0</v>
      </c>
      <c r="AB13" s="3">
        <v>5</v>
      </c>
      <c r="AC13" s="3">
        <v>5</v>
      </c>
      <c r="AD13" s="10">
        <f t="shared" si="0"/>
        <v>104</v>
      </c>
      <c r="AE13" s="10">
        <f t="shared" si="1"/>
        <v>6</v>
      </c>
    </row>
    <row r="14" s="2" customFormat="1" spans="1:31">
      <c r="A14" s="9" t="s">
        <v>41</v>
      </c>
      <c r="B14" s="3" t="s">
        <v>31</v>
      </c>
      <c r="C14" s="3" t="s">
        <v>32</v>
      </c>
      <c r="D14" s="3">
        <v>3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5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6</v>
      </c>
      <c r="W14" s="3">
        <v>6</v>
      </c>
      <c r="X14" s="3">
        <v>7</v>
      </c>
      <c r="Y14" s="3">
        <v>7</v>
      </c>
      <c r="Z14" s="3">
        <v>5</v>
      </c>
      <c r="AA14" s="3">
        <v>0</v>
      </c>
      <c r="AB14" s="3">
        <v>5</v>
      </c>
      <c r="AC14" s="3">
        <v>5</v>
      </c>
      <c r="AD14" s="10">
        <f t="shared" si="0"/>
        <v>115</v>
      </c>
      <c r="AE14" s="10">
        <f t="shared" si="1"/>
        <v>4</v>
      </c>
    </row>
    <row r="15" s="2" customFormat="1" spans="1:31">
      <c r="A15" s="9" t="s">
        <v>42</v>
      </c>
      <c r="B15" s="3" t="s">
        <v>31</v>
      </c>
      <c r="C15" s="3" t="s">
        <v>32</v>
      </c>
      <c r="D15" s="3">
        <v>3</v>
      </c>
      <c r="E15" s="3">
        <v>0</v>
      </c>
      <c r="F15" s="3">
        <v>3</v>
      </c>
      <c r="G15" s="3">
        <v>0</v>
      </c>
      <c r="H15" s="3">
        <v>3</v>
      </c>
      <c r="I15" s="3">
        <v>3</v>
      </c>
      <c r="J15" s="3">
        <v>3</v>
      </c>
      <c r="K15" s="3">
        <v>3</v>
      </c>
      <c r="L15" s="3">
        <v>0</v>
      </c>
      <c r="M15" s="3">
        <v>5</v>
      </c>
      <c r="N15" s="3">
        <v>5</v>
      </c>
      <c r="O15" s="3">
        <v>5</v>
      </c>
      <c r="P15" s="3">
        <v>0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0</v>
      </c>
      <c r="W15" s="3">
        <v>0</v>
      </c>
      <c r="X15" s="3">
        <v>7</v>
      </c>
      <c r="Y15" s="3">
        <v>0</v>
      </c>
      <c r="Z15" s="3">
        <v>5</v>
      </c>
      <c r="AA15" s="3">
        <v>5</v>
      </c>
      <c r="AB15" s="3">
        <v>0</v>
      </c>
      <c r="AC15" s="3">
        <v>5</v>
      </c>
      <c r="AD15" s="10">
        <f t="shared" si="0"/>
        <v>80</v>
      </c>
      <c r="AE15" s="10">
        <f t="shared" si="1"/>
        <v>10</v>
      </c>
    </row>
    <row r="16" s="2" customFormat="1" spans="1:31">
      <c r="A16" s="9" t="s">
        <v>43</v>
      </c>
      <c r="B16" s="3" t="s">
        <v>31</v>
      </c>
      <c r="C16" s="3" t="s">
        <v>32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3</v>
      </c>
      <c r="J16" s="3">
        <v>3</v>
      </c>
      <c r="K16" s="3">
        <v>0</v>
      </c>
      <c r="L16" s="3">
        <v>0</v>
      </c>
      <c r="M16" s="3">
        <v>5</v>
      </c>
      <c r="N16" s="3">
        <v>5</v>
      </c>
      <c r="O16" s="3">
        <v>5</v>
      </c>
      <c r="P16" s="3">
        <v>0</v>
      </c>
      <c r="Q16" s="3">
        <v>5</v>
      </c>
      <c r="R16" s="3">
        <v>5</v>
      </c>
      <c r="S16" s="3">
        <v>0</v>
      </c>
      <c r="T16" s="3">
        <v>0</v>
      </c>
      <c r="U16" s="3">
        <v>0</v>
      </c>
      <c r="V16" s="3">
        <v>6</v>
      </c>
      <c r="W16" s="3">
        <v>0</v>
      </c>
      <c r="X16" s="3">
        <v>7</v>
      </c>
      <c r="Y16" s="3">
        <v>0</v>
      </c>
      <c r="Z16" s="3">
        <v>0</v>
      </c>
      <c r="AA16" s="3">
        <v>5</v>
      </c>
      <c r="AB16" s="3">
        <v>5</v>
      </c>
      <c r="AC16" s="3">
        <v>5</v>
      </c>
      <c r="AD16" s="10">
        <f t="shared" si="0"/>
        <v>62</v>
      </c>
      <c r="AE16" s="10">
        <f t="shared" si="1"/>
        <v>12</v>
      </c>
    </row>
    <row r="17" s="2" customFormat="1" spans="1:31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10"/>
    </row>
    <row r="18" s="2" customFormat="1" spans="1:31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10"/>
    </row>
    <row r="19" s="2" customFormat="1" spans="1:31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10"/>
    </row>
    <row r="20" s="2" customFormat="1" spans="1:31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10"/>
    </row>
    <row r="21" s="2" customFormat="1" spans="1:31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10"/>
    </row>
    <row r="22" s="2" customFormat="1" spans="1:31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10"/>
    </row>
    <row r="23" s="2" customFormat="1" spans="1:31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10"/>
    </row>
    <row r="24" s="2" customFormat="1" spans="1:31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10"/>
    </row>
    <row r="25" s="2" customFormat="1" spans="1:31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10"/>
    </row>
    <row r="26" s="2" customFormat="1" spans="1:31">
      <c r="A26" s="9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10"/>
    </row>
    <row r="27" s="2" customFormat="1" spans="1:31">
      <c r="A27" s="9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10"/>
    </row>
    <row r="28" s="2" customFormat="1" spans="1:31">
      <c r="A28" s="9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10"/>
    </row>
    <row r="66" s="2" customFormat="1" spans="1:2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="2" customFormat="1" spans="1:2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="2" customFormat="1" spans="1:2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</sheetData>
  <dataValidations count="2">
    <dataValidation type="list" allowBlank="1" showInputMessage="1" showErrorMessage="1" sqref="D2:AC2">
      <formula1>题型分类!$A$1:$G$1</formula1>
    </dataValidation>
    <dataValidation type="list" allowBlank="1" showInputMessage="1" showErrorMessage="1" sqref="D3:AC3">
      <formula1>INDIRECT(D2)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E33" sqref="E33"/>
    </sheetView>
  </sheetViews>
  <sheetFormatPr defaultColWidth="9" defaultRowHeight="13.5" outlineLevelCol="6"/>
  <sheetData>
    <row r="1" spans="1:7">
      <c r="A1" s="1" t="s">
        <v>8</v>
      </c>
      <c r="B1" s="1" t="s">
        <v>5</v>
      </c>
      <c r="C1" s="1" t="s">
        <v>6</v>
      </c>
      <c r="D1" s="1" t="s">
        <v>7</v>
      </c>
      <c r="E1" s="1" t="s">
        <v>10</v>
      </c>
      <c r="F1" s="1" t="s">
        <v>11</v>
      </c>
      <c r="G1" s="1" t="s">
        <v>9</v>
      </c>
    </row>
    <row r="2" spans="1:7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 spans="1:7">
      <c r="A3" t="s">
        <v>54</v>
      </c>
      <c r="B3" t="s">
        <v>12</v>
      </c>
      <c r="C3" t="s">
        <v>13</v>
      </c>
      <c r="D3" t="s">
        <v>55</v>
      </c>
      <c r="E3" t="s">
        <v>56</v>
      </c>
      <c r="F3" t="s">
        <v>57</v>
      </c>
      <c r="G3" t="s">
        <v>58</v>
      </c>
    </row>
    <row r="4" spans="1:7">
      <c r="A4" t="s">
        <v>47</v>
      </c>
      <c r="B4" t="s">
        <v>59</v>
      </c>
      <c r="C4" t="s">
        <v>60</v>
      </c>
      <c r="D4" t="s">
        <v>44</v>
      </c>
      <c r="E4" t="s">
        <v>61</v>
      </c>
      <c r="F4" t="s">
        <v>62</v>
      </c>
      <c r="G4" t="s">
        <v>28</v>
      </c>
    </row>
    <row r="5" spans="1:7">
      <c r="A5" t="s">
        <v>22</v>
      </c>
      <c r="B5" t="s">
        <v>63</v>
      </c>
      <c r="C5" t="s">
        <v>14</v>
      </c>
      <c r="D5" t="s">
        <v>64</v>
      </c>
      <c r="E5" t="s">
        <v>45</v>
      </c>
      <c r="F5" t="s">
        <v>65</v>
      </c>
      <c r="G5" t="s">
        <v>66</v>
      </c>
    </row>
    <row r="6" spans="1:7">
      <c r="A6" t="s">
        <v>67</v>
      </c>
      <c r="B6" t="s">
        <v>29</v>
      </c>
      <c r="C6" t="s">
        <v>23</v>
      </c>
      <c r="D6" t="s">
        <v>15</v>
      </c>
      <c r="E6" t="s">
        <v>68</v>
      </c>
      <c r="F6" t="s">
        <v>69</v>
      </c>
      <c r="G6" t="s">
        <v>70</v>
      </c>
    </row>
    <row r="7" spans="1:7">
      <c r="A7" t="s">
        <v>71</v>
      </c>
      <c r="B7" t="s">
        <v>12</v>
      </c>
      <c r="C7" t="s">
        <v>72</v>
      </c>
      <c r="D7" t="s">
        <v>17</v>
      </c>
      <c r="E7" t="s">
        <v>20</v>
      </c>
      <c r="F7" t="s">
        <v>25</v>
      </c>
      <c r="G7" t="s">
        <v>18</v>
      </c>
    </row>
    <row r="8" spans="1:7">
      <c r="A8" t="s">
        <v>16</v>
      </c>
      <c r="B8" t="s">
        <v>73</v>
      </c>
      <c r="C8" t="s">
        <v>74</v>
      </c>
      <c r="D8" t="s">
        <v>75</v>
      </c>
      <c r="E8" t="s">
        <v>24</v>
      </c>
      <c r="F8" t="s">
        <v>76</v>
      </c>
      <c r="G8" t="s">
        <v>77</v>
      </c>
    </row>
    <row r="9" spans="1:7">
      <c r="A9" t="s">
        <v>19</v>
      </c>
      <c r="B9" t="s">
        <v>78</v>
      </c>
      <c r="C9" t="s">
        <v>79</v>
      </c>
      <c r="D9" t="s">
        <v>80</v>
      </c>
      <c r="E9" t="s">
        <v>26</v>
      </c>
      <c r="F9" t="s">
        <v>46</v>
      </c>
    </row>
    <row r="10" spans="1:7">
      <c r="A10" t="s">
        <v>81</v>
      </c>
      <c r="B10" t="s">
        <v>82</v>
      </c>
      <c r="C10" t="s">
        <v>21</v>
      </c>
      <c r="D10" t="s">
        <v>27</v>
      </c>
      <c r="E10" t="s">
        <v>83</v>
      </c>
      <c r="F10" t="s">
        <v>84</v>
      </c>
    </row>
    <row r="11" spans="1:7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</row>
    <row r="12" spans="1:7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</row>
    <row r="13" spans="1:7">
      <c r="A13" t="s">
        <v>97</v>
      </c>
      <c r="B13" t="s">
        <v>98</v>
      </c>
      <c r="C13" t="s">
        <v>99</v>
      </c>
      <c r="D13" t="s">
        <v>100</v>
      </c>
    </row>
    <row r="14" spans="1:7">
      <c r="A14" t="s">
        <v>101</v>
      </c>
      <c r="B14" t="s">
        <v>102</v>
      </c>
      <c r="C14" t="s">
        <v>103</v>
      </c>
      <c r="D14" t="s">
        <v>104</v>
      </c>
    </row>
    <row r="15" spans="1:7">
      <c r="A15" t="s">
        <v>105</v>
      </c>
      <c r="B15" t="s">
        <v>106</v>
      </c>
      <c r="C15" t="s">
        <v>107</v>
      </c>
    </row>
    <row r="16" spans="1:7">
      <c r="A16" t="s">
        <v>108</v>
      </c>
      <c r="B16" t="s">
        <v>109</v>
      </c>
      <c r="C16" t="s">
        <v>110</v>
      </c>
    </row>
    <row r="17" spans="2:3">
      <c r="B17" t="s">
        <v>111</v>
      </c>
      <c r="C17" t="s">
        <v>112</v>
      </c>
    </row>
    <row r="18" spans="2:3">
      <c r="B18" t="s">
        <v>102</v>
      </c>
      <c r="C18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综合刷题1</vt:lpstr>
      <vt:lpstr>综合刷题2</vt:lpstr>
      <vt:lpstr>综合刷题3</vt:lpstr>
      <vt:lpstr>综合刷题4</vt:lpstr>
      <vt:lpstr>综合刷题5</vt:lpstr>
      <vt:lpstr>综合刷题6</vt:lpstr>
      <vt:lpstr>综合刷题7</vt:lpstr>
      <vt:lpstr>综合刷题8</vt:lpstr>
      <vt:lpstr>综合刷题9</vt:lpstr>
      <vt:lpstr>综合刷题10</vt:lpstr>
      <vt:lpstr>综合刷题11</vt:lpstr>
      <vt:lpstr>综合刷题12</vt:lpstr>
      <vt:lpstr>综合刷题13</vt:lpstr>
      <vt:lpstr>综合刷题14</vt:lpstr>
      <vt:lpstr>综合刷题15 </vt:lpstr>
      <vt:lpstr>综合刷题16</vt:lpstr>
      <vt:lpstr>题型分类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Glimmer</cp:lastModifiedBy>
  <dcterms:created xsi:type="dcterms:W3CDTF">2023-05-12T11:15:00Z</dcterms:created>
  <dcterms:modified xsi:type="dcterms:W3CDTF">2026-01-15T02:31:20Z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5883497F41AE478782104305737E1C33_12</vt:lpwstr>
  </property>
  <property fmtid="{D5CDD505-2E9C-101B-9397-08002B2CF9AE}" pid="4" name="CalculationRule">
    <vt:i4>0</vt:i4>
  </property>
</Properties>
</file>